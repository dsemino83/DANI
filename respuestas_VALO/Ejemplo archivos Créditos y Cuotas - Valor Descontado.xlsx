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bancodevalores-my.sharepoint.com/personal/jdominguez_valo_ar/Documents/Escritorio/"/>
    </mc:Choice>
  </mc:AlternateContent>
  <xr:revisionPtr revIDLastSave="0" documentId="8_{60C8B465-6CBF-4652-8916-D69B3112217D}" xr6:coauthVersionLast="47" xr6:coauthVersionMax="47" xr10:uidLastSave="{00000000-0000-0000-0000-000000000000}"/>
  <bookViews>
    <workbookView xWindow="-110" yWindow="-110" windowWidth="19420" windowHeight="10300" firstSheet="1" activeTab="1" xr2:uid="{AC24938B-E01A-44CA-AE4B-5AA7E137D137}"/>
  </bookViews>
  <sheets>
    <sheet name="Credito" sheetId="1" r:id="rId1"/>
    <sheet name="Cuotas" sheetId="4" r:id="rId2"/>
  </sheets>
  <definedNames>
    <definedName name="_xlnm._FilterDatabase" localSheetId="0" hidden="1">Credito!$A$4:$T$5</definedName>
    <definedName name="_xlnm._FilterDatabase" localSheetId="1" hidden="1">Cuotas!$A$3:$M$15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4" l="1"/>
  <c r="Q8" i="4"/>
  <c r="Q9" i="4"/>
  <c r="Q10" i="4"/>
  <c r="Q11" i="4"/>
  <c r="Q12" i="4"/>
  <c r="Q13" i="4"/>
  <c r="Q14" i="4"/>
  <c r="Q15" i="4"/>
  <c r="Q4" i="4"/>
  <c r="T2" i="4"/>
  <c r="G2" i="4"/>
  <c r="L4" i="1"/>
  <c r="O3" i="1"/>
  <c r="N3" i="1"/>
  <c r="M3" i="1"/>
  <c r="L3" i="1"/>
  <c r="K3" i="1"/>
  <c r="L2" i="4"/>
  <c r="K2" i="4"/>
  <c r="J2" i="4"/>
  <c r="I2" i="4"/>
  <c r="H2" i="4"/>
  <c r="P2" i="4"/>
  <c r="O14" i="4" s="1"/>
  <c r="P14" i="4" s="1"/>
  <c r="Q7" i="4" l="1"/>
  <c r="O15" i="4"/>
  <c r="P15" i="4" s="1"/>
  <c r="Q5" i="4"/>
  <c r="O7" i="4"/>
  <c r="P7" i="4" s="1"/>
  <c r="O4" i="4"/>
  <c r="P4" i="4" s="1"/>
  <c r="O5" i="4"/>
  <c r="P5" i="4" s="1"/>
  <c r="O6" i="4"/>
  <c r="P6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</calcChain>
</file>

<file path=xl/sharedStrings.xml><?xml version="1.0" encoding="utf-8"?>
<sst xmlns="http://schemas.openxmlformats.org/spreadsheetml/2006/main" count="68" uniqueCount="43">
  <si>
    <t>CAP</t>
  </si>
  <si>
    <t>INTADEV</t>
  </si>
  <si>
    <t>IVAINT</t>
  </si>
  <si>
    <t>CAPADESC</t>
  </si>
  <si>
    <t>INTADESC</t>
  </si>
  <si>
    <t>TD</t>
  </si>
  <si>
    <t>Motivo no aplica</t>
  </si>
  <si>
    <t>cantidad registro</t>
  </si>
  <si>
    <t>periodo</t>
  </si>
  <si>
    <t>Secuencia</t>
  </si>
  <si>
    <t>Lote</t>
  </si>
  <si>
    <t>Cesionario</t>
  </si>
  <si>
    <t>negocio</t>
  </si>
  <si>
    <t>cedente/ Cuit de ustedes</t>
  </si>
  <si>
    <t>CREDITOS</t>
  </si>
  <si>
    <t>ALTA</t>
  </si>
  <si>
    <t>N cred</t>
  </si>
  <si>
    <t>tipo</t>
  </si>
  <si>
    <t>Cuit</t>
  </si>
  <si>
    <t>nombre</t>
  </si>
  <si>
    <t>capital cred original</t>
  </si>
  <si>
    <t>cuotas cant</t>
  </si>
  <si>
    <t>tasa</t>
  </si>
  <si>
    <t>tasa punitoio</t>
  </si>
  <si>
    <t>importe cuota con iva</t>
  </si>
  <si>
    <t>Alta cred</t>
  </si>
  <si>
    <t>Vto primera cuota</t>
  </si>
  <si>
    <t>cuotas restantes</t>
  </si>
  <si>
    <t>sumatoria cap + int</t>
  </si>
  <si>
    <t>sucursal</t>
  </si>
  <si>
    <t>Jonathan Dominguez</t>
  </si>
  <si>
    <t>020626</t>
  </si>
  <si>
    <t>Fecha Liq</t>
  </si>
  <si>
    <t>CUOTAS</t>
  </si>
  <si>
    <t>TEA</t>
  </si>
  <si>
    <t>num cred</t>
  </si>
  <si>
    <t>num cuota</t>
  </si>
  <si>
    <t>vto cuota</t>
  </si>
  <si>
    <t>Importe cuota</t>
  </si>
  <si>
    <t>Factor de descuento</t>
  </si>
  <si>
    <t>Cap Desc</t>
  </si>
  <si>
    <t>Factor de Descuento</t>
  </si>
  <si>
    <t>tasa nominal anual de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</si>
</sst>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0" fontId="2" fillId="2" borderId="0" xfId="2" applyNumberFormat="1" applyFont="1" applyFill="1"/>
    <xf numFmtId="0" fontId="0" fillId="2" borderId="0" xfId="0" applyFill="1"/>
    <xf numFmtId="43" fontId="0" fillId="0" borderId="0" xfId="1" applyFont="1"/>
    <xf numFmtId="14" fontId="0" fillId="0" borderId="0" xfId="0" applyNumberFormat="1"/>
    <xf numFmtId="0" fontId="0" fillId="3" borderId="0" xfId="0" applyFill="1"/>
    <xf numFmtId="10" fontId="0" fillId="0" borderId="0" xfId="0" applyNumberFormat="1"/>
    <xf numFmtId="43" fontId="0" fillId="0" borderId="0" xfId="0" applyNumberFormat="1"/>
    <xf numFmtId="0" fontId="0" fillId="4" borderId="0" xfId="0" applyFill="1"/>
    <xf numFmtId="43" fontId="0" fillId="4" borderId="0" xfId="1" applyFont="1" applyFill="1"/>
    <xf numFmtId="49" fontId="0" fillId="4" borderId="0" xfId="0" applyNumberFormat="1" applyFill="1"/>
    <xf numFmtId="43" fontId="0" fillId="4" borderId="0" xfId="0" applyNumberFormat="1" applyFill="1"/>
    <xf numFmtId="14" fontId="0" fillId="4" borderId="0" xfId="0" applyNumberFormat="1" applyFill="1"/>
    <xf numFmtId="43" fontId="0" fillId="0" borderId="0" xfId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3890-D778-47FB-A1EE-B3C9A6B012BD}">
  <dimension ref="A1:T7"/>
  <sheetViews>
    <sheetView topLeftCell="K1" workbookViewId="0">
      <selection activeCell="M2" sqref="M2"/>
    </sheetView>
  </sheetViews>
  <sheetFormatPr defaultColWidth="11.42578125" defaultRowHeight="14.45"/>
  <cols>
    <col min="3" max="3" width="13.85546875" bestFit="1" customWidth="1"/>
    <col min="9" max="9" width="20.42578125" bestFit="1" customWidth="1"/>
    <col min="10" max="10" width="11.85546875" bestFit="1" customWidth="1"/>
    <col min="11" max="12" width="14.7109375" bestFit="1" customWidth="1"/>
    <col min="13" max="13" width="13.7109375" bestFit="1" customWidth="1"/>
    <col min="14" max="15" width="14.7109375" bestFit="1" customWidth="1"/>
    <col min="16" max="16" width="12.7109375" bestFit="1" customWidth="1"/>
    <col min="17" max="17" width="13.7109375" bestFit="1" customWidth="1"/>
    <col min="18" max="19" width="12.7109375" bestFit="1" customWidth="1"/>
    <col min="20" max="20" width="11.140625" bestFit="1" customWidth="1"/>
  </cols>
  <sheetData>
    <row r="1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20"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</row>
    <row r="3" spans="1:20">
      <c r="A3" s="9" t="s">
        <v>14</v>
      </c>
      <c r="B3" s="9" t="s">
        <v>15</v>
      </c>
      <c r="C3" s="9">
        <v>1</v>
      </c>
      <c r="D3" s="9">
        <v>1</v>
      </c>
      <c r="E3" s="9">
        <v>202608</v>
      </c>
      <c r="F3" s="9">
        <v>1</v>
      </c>
      <c r="G3" s="9">
        <v>1</v>
      </c>
      <c r="H3" s="9">
        <v>198</v>
      </c>
      <c r="I3" s="9">
        <v>9999</v>
      </c>
      <c r="J3" s="9">
        <v>30000000000</v>
      </c>
      <c r="K3" s="10">
        <f>+SUM(P5)</f>
        <v>875000</v>
      </c>
      <c r="L3" s="10">
        <f t="shared" ref="L3:O3" si="0">+SUM(Q5)</f>
        <v>480982.26</v>
      </c>
      <c r="M3" s="10">
        <f t="shared" si="0"/>
        <v>101006.26</v>
      </c>
      <c r="N3" s="10">
        <f t="shared" si="0"/>
        <v>1078989.1000000001</v>
      </c>
      <c r="O3" s="10">
        <f t="shared" si="0"/>
        <v>276993.15999999997</v>
      </c>
      <c r="P3" s="10">
        <v>58.59</v>
      </c>
    </row>
    <row r="4" spans="1:20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s="14" t="s">
        <v>26</v>
      </c>
      <c r="L4" s="14" t="str">
        <f>+K4</f>
        <v>Vto primera cuota</v>
      </c>
      <c r="M4" s="14" t="s">
        <v>27</v>
      </c>
      <c r="N4" s="14" t="s">
        <v>28</v>
      </c>
      <c r="O4" s="14" t="s">
        <v>29</v>
      </c>
      <c r="P4" s="3" t="s">
        <v>0</v>
      </c>
      <c r="Q4" s="3" t="s">
        <v>1</v>
      </c>
      <c r="R4" s="3" t="s">
        <v>2</v>
      </c>
      <c r="S4" s="3" t="s">
        <v>3</v>
      </c>
      <c r="T4" s="3" t="s">
        <v>4</v>
      </c>
    </row>
    <row r="5" spans="1:20">
      <c r="A5" s="9">
        <v>300026842</v>
      </c>
      <c r="B5" s="9">
        <v>7</v>
      </c>
      <c r="C5" s="9">
        <v>20100000000</v>
      </c>
      <c r="D5" s="9" t="s">
        <v>30</v>
      </c>
      <c r="E5" s="9">
        <v>875000</v>
      </c>
      <c r="F5" s="9">
        <v>12</v>
      </c>
      <c r="G5" s="9">
        <v>106.48</v>
      </c>
      <c r="H5" s="9">
        <v>0</v>
      </c>
      <c r="I5" s="10">
        <v>121415.71</v>
      </c>
      <c r="J5" s="11" t="s">
        <v>31</v>
      </c>
      <c r="K5" s="9">
        <v>200826</v>
      </c>
      <c r="L5" s="9">
        <v>200826</v>
      </c>
      <c r="M5" s="9">
        <v>12</v>
      </c>
      <c r="N5" s="10">
        <v>1355982.26</v>
      </c>
      <c r="O5" s="9">
        <v>2</v>
      </c>
      <c r="P5" s="10">
        <v>875000</v>
      </c>
      <c r="Q5" s="10">
        <v>480982.26</v>
      </c>
      <c r="R5" s="10">
        <v>101006.26</v>
      </c>
      <c r="S5" s="10">
        <v>1078989.1000000001</v>
      </c>
      <c r="T5" s="10">
        <v>276993.15999999997</v>
      </c>
    </row>
    <row r="7" spans="1:20">
      <c r="I7" s="4"/>
    </row>
  </sheetData>
  <autoFilter ref="A4:T5" xr:uid="{94A93890-D778-47FB-A1EE-B3C9A6B012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24DD-C397-43EF-8A20-B9BB0F0D0B57}">
  <dimension ref="A1:T15"/>
  <sheetViews>
    <sheetView tabSelected="1" topLeftCell="D1" workbookViewId="0">
      <selection activeCell="H3" sqref="H3"/>
    </sheetView>
  </sheetViews>
  <sheetFormatPr defaultColWidth="11.42578125" defaultRowHeight="14.45"/>
  <cols>
    <col min="3" max="3" width="11.85546875" bestFit="1" customWidth="1"/>
    <col min="7" max="7" width="11.85546875" bestFit="1" customWidth="1"/>
    <col min="8" max="9" width="14.7109375" bestFit="1" customWidth="1"/>
    <col min="10" max="10" width="13.7109375" bestFit="1" customWidth="1"/>
    <col min="11" max="12" width="14.7109375" bestFit="1" customWidth="1"/>
    <col min="13" max="13" width="11.140625" bestFit="1" customWidth="1"/>
    <col min="15" max="15" width="11.140625" bestFit="1" customWidth="1"/>
    <col min="18" max="18" width="25.140625" bestFit="1" customWidth="1"/>
  </cols>
  <sheetData>
    <row r="1" spans="1:20">
      <c r="H1" t="s">
        <v>0</v>
      </c>
      <c r="I1" t="s">
        <v>1</v>
      </c>
      <c r="J1" t="s">
        <v>2</v>
      </c>
      <c r="K1" t="s">
        <v>3</v>
      </c>
      <c r="L1" t="s">
        <v>4</v>
      </c>
      <c r="O1" s="6" t="s">
        <v>32</v>
      </c>
      <c r="P1" s="5">
        <v>46237</v>
      </c>
    </row>
    <row r="2" spans="1:20">
      <c r="A2" s="9" t="s">
        <v>33</v>
      </c>
      <c r="B2" s="9" t="s">
        <v>15</v>
      </c>
      <c r="C2" s="9">
        <v>12</v>
      </c>
      <c r="D2" s="9">
        <v>1</v>
      </c>
      <c r="E2" s="9">
        <v>198</v>
      </c>
      <c r="F2" s="9">
        <v>9999</v>
      </c>
      <c r="G2" s="9">
        <f>+Credito!J3</f>
        <v>30000000000</v>
      </c>
      <c r="H2" s="12">
        <f>+SUM(I4:I15)</f>
        <v>875000</v>
      </c>
      <c r="I2" s="12">
        <f t="shared" ref="I2:L2" si="0">+SUM(J4:J15)</f>
        <v>480982.26</v>
      </c>
      <c r="J2" s="12">
        <f t="shared" si="0"/>
        <v>101006.26000000001</v>
      </c>
      <c r="K2" s="12">
        <f t="shared" si="0"/>
        <v>1078989.1000000001</v>
      </c>
      <c r="L2" s="12">
        <f t="shared" si="0"/>
        <v>276993.16000000003</v>
      </c>
      <c r="O2" t="s">
        <v>34</v>
      </c>
      <c r="P2" s="7">
        <f>+Cuotas!T2</f>
        <v>0.58589999999999998</v>
      </c>
      <c r="S2" s="1" t="s">
        <v>34</v>
      </c>
      <c r="T2" s="2">
        <f>ROUND((1+(T3*30/365))^(365/30)-1,4)</f>
        <v>0.58589999999999998</v>
      </c>
    </row>
    <row r="3" spans="1:20">
      <c r="C3" t="s">
        <v>18</v>
      </c>
      <c r="D3" t="s">
        <v>35</v>
      </c>
      <c r="E3" t="s">
        <v>36</v>
      </c>
      <c r="F3" t="s">
        <v>37</v>
      </c>
      <c r="G3" t="s">
        <v>38</v>
      </c>
      <c r="H3" s="4" t="s">
        <v>39</v>
      </c>
      <c r="I3" t="s">
        <v>0</v>
      </c>
      <c r="J3" t="s">
        <v>1</v>
      </c>
      <c r="K3" t="s">
        <v>2</v>
      </c>
      <c r="L3" t="s">
        <v>3</v>
      </c>
      <c r="M3" t="s">
        <v>4</v>
      </c>
      <c r="O3" s="6" t="s">
        <v>40</v>
      </c>
      <c r="P3" s="6" t="s">
        <v>4</v>
      </c>
      <c r="Q3" s="6" t="s">
        <v>41</v>
      </c>
      <c r="S3" s="1" t="s">
        <v>42</v>
      </c>
      <c r="T3" s="2">
        <v>0.47</v>
      </c>
    </row>
    <row r="4" spans="1:20">
      <c r="A4" s="9">
        <v>2</v>
      </c>
      <c r="B4" s="9">
        <v>7</v>
      </c>
      <c r="C4" s="9">
        <v>20100000000</v>
      </c>
      <c r="D4" s="9">
        <v>300026842</v>
      </c>
      <c r="E4" s="9">
        <v>1</v>
      </c>
      <c r="F4" s="13">
        <v>46254</v>
      </c>
      <c r="G4" s="9">
        <v>121415.71</v>
      </c>
      <c r="H4" s="9">
        <v>0.98</v>
      </c>
      <c r="I4" s="10">
        <v>43774.04</v>
      </c>
      <c r="J4" s="10">
        <v>64166.67</v>
      </c>
      <c r="K4" s="10">
        <v>13475</v>
      </c>
      <c r="L4" s="10">
        <v>105647.05</v>
      </c>
      <c r="M4" s="10">
        <v>2293.66</v>
      </c>
      <c r="O4" s="4">
        <f t="shared" ref="O4:O15" si="1">+ROUND(((I4+J4)*((1/(1+($P$2))^(($F4-P$1)/365)))),2)</f>
        <v>105647.05</v>
      </c>
      <c r="P4" s="8">
        <f>+I4+J4-O4</f>
        <v>2293.6599999999889</v>
      </c>
      <c r="Q4">
        <f>+ROUND((1+$P$2)^(-((F4-$P$1)/365)),2)</f>
        <v>0.98</v>
      </c>
    </row>
    <row r="5" spans="1:20">
      <c r="A5" s="9">
        <v>2</v>
      </c>
      <c r="B5" s="9">
        <v>7</v>
      </c>
      <c r="C5" s="9">
        <v>20100000000</v>
      </c>
      <c r="D5" s="9">
        <v>300026842</v>
      </c>
      <c r="E5" s="9">
        <v>2</v>
      </c>
      <c r="F5" s="13">
        <v>46285</v>
      </c>
      <c r="G5" s="9">
        <v>121415.71</v>
      </c>
      <c r="H5" s="9">
        <v>0.94</v>
      </c>
      <c r="I5" s="10">
        <v>47658.26</v>
      </c>
      <c r="J5" s="10">
        <v>60956.57</v>
      </c>
      <c r="K5" s="10">
        <v>12800.88</v>
      </c>
      <c r="L5" s="10">
        <v>102223.67</v>
      </c>
      <c r="M5" s="10">
        <v>6391.16</v>
      </c>
      <c r="O5" s="4">
        <f t="shared" si="1"/>
        <v>102223.67</v>
      </c>
      <c r="P5" s="8">
        <f t="shared" ref="P5:P15" si="2">+I5+J5-O5</f>
        <v>6391.1600000000035</v>
      </c>
      <c r="Q5">
        <f t="shared" ref="Q5:Q15" si="3">+ROUND((1+$P$2)^(-((F5-$P$1)/365)),2)</f>
        <v>0.94</v>
      </c>
    </row>
    <row r="6" spans="1:20">
      <c r="A6" s="9">
        <v>2</v>
      </c>
      <c r="B6" s="9">
        <v>7</v>
      </c>
      <c r="C6" s="9">
        <v>20100000000</v>
      </c>
      <c r="D6" s="9">
        <v>300026842</v>
      </c>
      <c r="E6" s="9">
        <v>3</v>
      </c>
      <c r="F6" s="13">
        <v>46315</v>
      </c>
      <c r="G6" s="9">
        <v>121415.71</v>
      </c>
      <c r="H6" s="9">
        <v>0.91</v>
      </c>
      <c r="I6" s="10">
        <v>51887.13</v>
      </c>
      <c r="J6" s="10">
        <v>57461.64</v>
      </c>
      <c r="K6" s="10">
        <v>12066.94</v>
      </c>
      <c r="L6" s="10">
        <v>99086.67</v>
      </c>
      <c r="M6" s="10">
        <v>10262.1</v>
      </c>
      <c r="O6" s="4">
        <f t="shared" si="1"/>
        <v>99086.67</v>
      </c>
      <c r="P6" s="8">
        <f t="shared" si="2"/>
        <v>10262.099999999991</v>
      </c>
      <c r="Q6">
        <f t="shared" si="3"/>
        <v>0.91</v>
      </c>
    </row>
    <row r="7" spans="1:20">
      <c r="A7" s="9">
        <v>2</v>
      </c>
      <c r="B7" s="9">
        <v>7</v>
      </c>
      <c r="C7" s="9">
        <v>20100000000</v>
      </c>
      <c r="D7" s="9">
        <v>300026842</v>
      </c>
      <c r="E7" s="9">
        <v>4</v>
      </c>
      <c r="F7" s="13">
        <v>46346</v>
      </c>
      <c r="G7" s="9">
        <v>121415.71</v>
      </c>
      <c r="H7" s="9">
        <v>0.87</v>
      </c>
      <c r="I7" s="10">
        <v>56491.25</v>
      </c>
      <c r="J7" s="10">
        <v>53656.58</v>
      </c>
      <c r="K7" s="10">
        <v>11267.88</v>
      </c>
      <c r="L7" s="10">
        <v>95977.09</v>
      </c>
      <c r="M7" s="10">
        <v>14170.74</v>
      </c>
      <c r="O7" s="4">
        <f t="shared" si="1"/>
        <v>95977.09</v>
      </c>
      <c r="P7" s="8">
        <f t="shared" si="2"/>
        <v>14170.740000000005</v>
      </c>
      <c r="Q7">
        <f t="shared" si="3"/>
        <v>0.87</v>
      </c>
    </row>
    <row r="8" spans="1:20">
      <c r="A8" s="9">
        <v>2</v>
      </c>
      <c r="B8" s="9">
        <v>7</v>
      </c>
      <c r="C8" s="9">
        <v>20100000000</v>
      </c>
      <c r="D8" s="9">
        <v>300026842</v>
      </c>
      <c r="E8" s="9">
        <v>5</v>
      </c>
      <c r="F8" s="13">
        <v>46376</v>
      </c>
      <c r="G8" s="9">
        <v>121415.71</v>
      </c>
      <c r="H8" s="9">
        <v>0.84</v>
      </c>
      <c r="I8" s="10">
        <v>61503.91</v>
      </c>
      <c r="J8" s="10">
        <v>49513.88</v>
      </c>
      <c r="K8" s="10">
        <v>10397.92</v>
      </c>
      <c r="L8" s="10">
        <v>93137.2</v>
      </c>
      <c r="M8" s="10">
        <v>17880.59</v>
      </c>
      <c r="O8" s="4">
        <f t="shared" si="1"/>
        <v>93137.2</v>
      </c>
      <c r="P8" s="8">
        <f t="shared" si="2"/>
        <v>17880.590000000011</v>
      </c>
      <c r="Q8">
        <f t="shared" si="3"/>
        <v>0.84</v>
      </c>
    </row>
    <row r="9" spans="1:20">
      <c r="A9" s="9">
        <v>2</v>
      </c>
      <c r="B9" s="9">
        <v>7</v>
      </c>
      <c r="C9" s="9">
        <v>20100000000</v>
      </c>
      <c r="D9" s="9">
        <v>300026842</v>
      </c>
      <c r="E9" s="9">
        <v>6</v>
      </c>
      <c r="F9" s="13">
        <v>46407</v>
      </c>
      <c r="G9" s="9">
        <v>121415.71</v>
      </c>
      <c r="H9" s="9">
        <v>0.81</v>
      </c>
      <c r="I9" s="10">
        <v>66961.36</v>
      </c>
      <c r="J9" s="10">
        <v>45003.6</v>
      </c>
      <c r="K9" s="10">
        <v>9450.75</v>
      </c>
      <c r="L9" s="10">
        <v>90323.96</v>
      </c>
      <c r="M9" s="10">
        <v>21641</v>
      </c>
      <c r="O9" s="4">
        <f t="shared" si="1"/>
        <v>90323.96</v>
      </c>
      <c r="P9" s="8">
        <f t="shared" si="2"/>
        <v>21640.999999999985</v>
      </c>
      <c r="Q9">
        <f t="shared" si="3"/>
        <v>0.81</v>
      </c>
    </row>
    <row r="10" spans="1:20">
      <c r="A10" s="9">
        <v>2</v>
      </c>
      <c r="B10" s="9">
        <v>7</v>
      </c>
      <c r="C10" s="9">
        <v>20100000000</v>
      </c>
      <c r="D10" s="9">
        <v>300026842</v>
      </c>
      <c r="E10" s="9">
        <v>7</v>
      </c>
      <c r="F10" s="13">
        <v>46438</v>
      </c>
      <c r="G10" s="9">
        <v>121415.71</v>
      </c>
      <c r="H10" s="9">
        <v>0.78</v>
      </c>
      <c r="I10" s="10">
        <v>72903.06</v>
      </c>
      <c r="J10" s="10">
        <v>40093.1</v>
      </c>
      <c r="K10" s="10">
        <v>8419.5499999999993</v>
      </c>
      <c r="L10" s="10">
        <v>87654.62</v>
      </c>
      <c r="M10" s="10">
        <v>25341.54</v>
      </c>
      <c r="O10" s="4">
        <f t="shared" si="1"/>
        <v>87654.62</v>
      </c>
      <c r="P10" s="8">
        <f t="shared" si="2"/>
        <v>25341.540000000008</v>
      </c>
      <c r="Q10">
        <f t="shared" si="3"/>
        <v>0.78</v>
      </c>
    </row>
    <row r="11" spans="1:20">
      <c r="A11" s="9">
        <v>2</v>
      </c>
      <c r="B11" s="9">
        <v>7</v>
      </c>
      <c r="C11" s="9">
        <v>20100000000</v>
      </c>
      <c r="D11" s="9">
        <v>300026842</v>
      </c>
      <c r="E11" s="9">
        <v>8</v>
      </c>
      <c r="F11" s="13">
        <v>46466</v>
      </c>
      <c r="G11" s="9">
        <v>121415.71</v>
      </c>
      <c r="H11" s="9">
        <v>0.75</v>
      </c>
      <c r="I11" s="10">
        <v>79371.990000000005</v>
      </c>
      <c r="J11" s="10">
        <v>34746.879999999997</v>
      </c>
      <c r="K11" s="10">
        <v>7296.84</v>
      </c>
      <c r="L11" s="10">
        <v>85448.6</v>
      </c>
      <c r="M11" s="10">
        <v>28670.27</v>
      </c>
      <c r="O11" s="4">
        <f t="shared" si="1"/>
        <v>85448.6</v>
      </c>
      <c r="P11" s="8">
        <f t="shared" si="2"/>
        <v>28670.26999999999</v>
      </c>
      <c r="Q11">
        <f t="shared" si="3"/>
        <v>0.75</v>
      </c>
    </row>
    <row r="12" spans="1:20">
      <c r="A12" s="9">
        <v>2</v>
      </c>
      <c r="B12" s="9">
        <v>7</v>
      </c>
      <c r="C12" s="9">
        <v>20100000000</v>
      </c>
      <c r="D12" s="9">
        <v>300026842</v>
      </c>
      <c r="E12" s="9">
        <v>9</v>
      </c>
      <c r="F12" s="13">
        <v>46497</v>
      </c>
      <c r="G12" s="9">
        <v>121415.71</v>
      </c>
      <c r="H12" s="9">
        <v>0.72</v>
      </c>
      <c r="I12" s="10">
        <v>86414.93</v>
      </c>
      <c r="J12" s="10">
        <v>28926.26</v>
      </c>
      <c r="K12" s="10">
        <v>6074.52</v>
      </c>
      <c r="L12" s="10">
        <v>83046.67</v>
      </c>
      <c r="M12" s="10">
        <v>32294.52</v>
      </c>
      <c r="O12" s="4">
        <f t="shared" si="1"/>
        <v>83046.67</v>
      </c>
      <c r="P12" s="8">
        <f t="shared" si="2"/>
        <v>32294.51999999999</v>
      </c>
      <c r="Q12">
        <f t="shared" si="3"/>
        <v>0.72</v>
      </c>
    </row>
    <row r="13" spans="1:20">
      <c r="A13" s="9">
        <v>2</v>
      </c>
      <c r="B13" s="9">
        <v>7</v>
      </c>
      <c r="C13" s="9">
        <v>20100000000</v>
      </c>
      <c r="D13" s="9">
        <v>300026842</v>
      </c>
      <c r="E13" s="9">
        <v>10</v>
      </c>
      <c r="F13" s="13">
        <v>46527</v>
      </c>
      <c r="G13" s="9">
        <v>121415.71</v>
      </c>
      <c r="H13" s="9">
        <v>0.69</v>
      </c>
      <c r="I13" s="10">
        <v>94082.82</v>
      </c>
      <c r="J13" s="10">
        <v>22589.17</v>
      </c>
      <c r="K13" s="10">
        <v>4743.72</v>
      </c>
      <c r="L13" s="10">
        <v>80880.41</v>
      </c>
      <c r="M13" s="10">
        <v>35791.58</v>
      </c>
      <c r="O13" s="4">
        <f t="shared" si="1"/>
        <v>80880.41</v>
      </c>
      <c r="P13" s="8">
        <f t="shared" si="2"/>
        <v>35791.58</v>
      </c>
      <c r="Q13">
        <f t="shared" si="3"/>
        <v>0.69</v>
      </c>
    </row>
    <row r="14" spans="1:20">
      <c r="A14" s="9">
        <v>2</v>
      </c>
      <c r="B14" s="9">
        <v>7</v>
      </c>
      <c r="C14" s="9">
        <v>20100000000</v>
      </c>
      <c r="D14" s="9">
        <v>300026842</v>
      </c>
      <c r="E14" s="9">
        <v>11</v>
      </c>
      <c r="F14" s="13">
        <v>46558</v>
      </c>
      <c r="G14" s="9">
        <v>121415.71</v>
      </c>
      <c r="H14" s="9">
        <v>0.67</v>
      </c>
      <c r="I14" s="10">
        <v>102431.1</v>
      </c>
      <c r="J14" s="10">
        <v>15689.76</v>
      </c>
      <c r="K14" s="10">
        <v>3294.85</v>
      </c>
      <c r="L14" s="10">
        <v>78739.679999999993</v>
      </c>
      <c r="M14" s="10">
        <v>39381.18</v>
      </c>
      <c r="O14" s="4">
        <f t="shared" si="1"/>
        <v>78739.679999999993</v>
      </c>
      <c r="P14" s="8">
        <f t="shared" si="2"/>
        <v>39381.180000000008</v>
      </c>
      <c r="Q14">
        <f t="shared" si="3"/>
        <v>0.67</v>
      </c>
    </row>
    <row r="15" spans="1:20">
      <c r="A15" s="9">
        <v>2</v>
      </c>
      <c r="B15" s="9">
        <v>7</v>
      </c>
      <c r="C15" s="9">
        <v>20100000000</v>
      </c>
      <c r="D15" s="9">
        <v>300026842</v>
      </c>
      <c r="E15" s="9">
        <v>12</v>
      </c>
      <c r="F15" s="13">
        <v>46588</v>
      </c>
      <c r="G15" s="9">
        <v>121415.71</v>
      </c>
      <c r="H15" s="9">
        <v>0.64</v>
      </c>
      <c r="I15" s="10">
        <v>111520.15</v>
      </c>
      <c r="J15" s="10">
        <v>8178.15</v>
      </c>
      <c r="K15" s="10">
        <v>1717.41</v>
      </c>
      <c r="L15" s="10">
        <v>76823.48</v>
      </c>
      <c r="M15" s="10">
        <v>42874.82</v>
      </c>
      <c r="O15" s="4">
        <f t="shared" si="1"/>
        <v>76823.48</v>
      </c>
      <c r="P15" s="8">
        <f t="shared" si="2"/>
        <v>42874.819999999992</v>
      </c>
      <c r="Q15">
        <f t="shared" si="3"/>
        <v>0.64</v>
      </c>
    </row>
  </sheetData>
  <autoFilter ref="A3:M15" xr:uid="{0EDF24DD-C397-43EF-8A20-B9BB0F0D0B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Dominguez, Jonathan</dc:creator>
  <cp:keywords/>
  <dc:description/>
  <cp:lastModifiedBy/>
  <cp:revision/>
  <dcterms:created xsi:type="dcterms:W3CDTF">2026-10-19T17:20:51Z</dcterms:created>
  <dcterms:modified xsi:type="dcterms:W3CDTF">2026-10-19T21:26:18Z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4f83e3-a79a-4c95-8cd9-fed013000022_Enabled">
    <vt:lpwstr>true</vt:lpwstr>
  </property>
  <property fmtid="{D5CDD505-2E9C-101B-9397-08002B2CF9AE}" pid="3" name="MSIP_Label_a84f83e3-a79a-4c95-8cd9-fed013000022_SetDate">
    <vt:lpwstr>2026-10-19T18:24:41Z</vt:lpwstr>
  </property>
  <property fmtid="{D5CDD505-2E9C-101B-9397-08002B2CF9AE}" pid="4" name="MSIP_Label_a84f83e3-a79a-4c95-8cd9-fed013000022_Method">
    <vt:lpwstr>Standard</vt:lpwstr>
  </property>
  <property fmtid="{D5CDD505-2E9C-101B-9397-08002B2CF9AE}" pid="5" name="MSIP_Label_a84f83e3-a79a-4c95-8cd9-fed013000022_Name">
    <vt:lpwstr>a84f83e3-a79a-4c95-8cd9-fed013000022</vt:lpwstr>
  </property>
  <property fmtid="{D5CDD505-2E9C-101B-9397-08002B2CF9AE}" pid="6" name="MSIP_Label_a84f83e3-a79a-4c95-8cd9-fed013000022_SiteId">
    <vt:lpwstr>eaa84f98-b226-4bcb-ad96-b886639a4ca2</vt:lpwstr>
  </property>
  <property fmtid="{D5CDD505-2E9C-101B-9397-08002B2CF9AE}" pid="7" name="MSIP_Label_a84f83e3-a79a-4c95-8cd9-fed013000022_ActionId">
    <vt:lpwstr>f51d9a41-bd9e-4266-987b-26648cd14bba</vt:lpwstr>
  </property>
  <property fmtid="{D5CDD505-2E9C-101B-9397-08002B2CF9AE}" pid="8" name="MSIP_Label_a84f83e3-a79a-4c95-8cd9-fed013000022_ContentBits">
    <vt:lpwstr>0</vt:lpwstr>
  </property>
  <property fmtid="{D5CDD505-2E9C-101B-9397-08002B2CF9AE}" pid="9" name="MSIP_Label_a84f83e3-a79a-4c95-8cd9-fed013000022_Tag">
    <vt:lpwstr>10, 3, 0, 1</vt:lpwstr>
  </property>
</Properties>
</file>