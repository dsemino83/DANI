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<sst xmlns="http://schemas.openxmlformats.org/spreadsheetml/2006/main" count="20" uniqueCount="20">
  <si>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Liquidación</t>
  </si>
  <si>
    <t xml:space="preserve">TEA</t>
  </si>
  <si>
    <t xml:space="preserve">TNA sellos</t>
  </si>
  <si>
    <t xml:space="preserve">Vto</t>
  </si>
  <si>
    <t xml:space="preserve">Importe (MOV_AMOUNT_INSTALL)</t>
  </si>
  <si>
    <t xml:space="preserve">IMPORTE</t>
  </si>
  <si>
    <t xml:space="preserve">VTO CUOTA</t>
  </si>
  <si>
    <t xml:space="preserve">VALOR PRESENTE</t>
  </si>
  <si>
    <t xml:space="preserve">INTERÉS</t>
  </si>
  <si>
    <t xml:space="preserve">VALOR CESIÓN (sellos)</t>
  </si>
  <si>
    <t xml:space="preserve">SELLOS</t>
  </si>
  <si>
    <t xml:space="preserve">Total general</t>
  </si>
  <si>
    <t xml:space="preserve">Valor final de los créditos cedidos</t>
  </si>
  <si>
    <t xml:space="preserve">Precio de la Cesión (valor presente)</t>
  </si>
  <si>
    <t xml:space="preserve">INT DESCONTADOS</t>
  </si>
  <si>
    <t xml:space="preserve">IVA sobre Int. Descontados</t>
  </si>
  <si>
    <t xml:space="preserve">IVA Percepción sobre Int. Descontados</t>
  </si>
  <si>
    <t xml:space="preserve">SELLOS OFERTA</t>
  </si>
  <si>
    <t xml:space="preserve">IIBB Percepción CABA</t>
  </si>
  <si>
    <t xml:space="preserve">IMPORTE A TRANSFERIR (precio neto de impuestos)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</si>
</sst>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%"/>
    <numFmt numFmtId="167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15" hidden="false" customHeight="false" outlineLevel="0" collapsed="false">
      <c r="G1" s="0" t="s">
        <v>0</v>
      </c>
      <c r="H1" s="1" t="n">
        <v>46317</v>
      </c>
      <c r="K1" s="2" t="n">
        <f aca="false">+H1</f>
        <v>46317</v>
      </c>
    </row>
    <row r="2" customFormat="false" ht="15" hidden="false" customHeight="false" outlineLevel="0" collapsed="false">
      <c r="G2" s="0" t="s">
        <v>1</v>
      </c>
      <c r="H2" s="3" t="n">
        <v>0.295</v>
      </c>
      <c r="J2" s="4" t="s">
        <v>2</v>
      </c>
      <c r="K2" s="3" t="n">
        <v>0.012</v>
      </c>
    </row>
    <row r="3" customFormat="false" ht="15" hidden="false" customHeight="false" outlineLevel="0" collapsed="false">
      <c r="A3" s="5" t="s">
        <v>3</v>
      </c>
      <c r="B3" s="5" t="s">
        <v>4</v>
      </c>
      <c r="D3" s="5" t="s">
        <v>5</v>
      </c>
      <c r="E3" s="5" t="s">
        <v>6</v>
      </c>
      <c r="G3" s="5" t="s">
        <v>7</v>
      </c>
      <c r="H3" s="5" t="s">
        <v>8</v>
      </c>
      <c r="J3" s="5" t="s">
        <v>9</v>
      </c>
      <c r="K3" s="5" t="s">
        <v>10</v>
      </c>
    </row>
    <row r="4" customFormat="false" ht="15" hidden="false" customHeight="false" outlineLevel="0" collapsed="false">
      <c r="A4" s="2" t="n">
        <v>46321</v>
      </c>
      <c r="B4" s="6" t="n">
        <v>24920379.24</v>
      </c>
      <c r="D4" s="6" t="n">
        <f aca="false">+B4</f>
        <v>24920379.24</v>
      </c>
      <c r="E4" s="2" t="n">
        <f aca="false">+A4</f>
        <v>46321</v>
      </c>
      <c r="G4" s="6" t="n">
        <f aca="false">+ROUND(((D4)*((1/(1+($H$2))^(($E4-H$1)/365)))),2)</f>
        <v>24849879.87</v>
      </c>
      <c r="H4" s="6" t="n">
        <f aca="false">+D4-G4</f>
        <v>70499.3699999973</v>
      </c>
      <c r="J4" s="6" t="n">
        <f aca="false">+ROUND(((D4)*((1/(1+($K$2))^(($E4-K$1)/365)))),2)</f>
        <v>24917121.76</v>
      </c>
      <c r="K4" s="6" t="n">
        <f aca="false">+D4-J4</f>
        <v>3257.47999999672</v>
      </c>
    </row>
    <row r="5" customFormat="false" ht="15" hidden="false" customHeight="false" outlineLevel="0" collapsed="false">
      <c r="A5" s="2" t="n">
        <v>46322</v>
      </c>
      <c r="B5" s="6" t="n">
        <v>4343142.86</v>
      </c>
      <c r="D5" s="6" t="n">
        <f aca="false">+B5</f>
        <v>4343142.86</v>
      </c>
      <c r="E5" s="2" t="n">
        <f aca="false">+A5</f>
        <v>46322</v>
      </c>
      <c r="G5" s="6" t="n">
        <f aca="false">+ROUND(((D5)*((1/(1+($H$2))^(($E5-H$1)/365)))),2)</f>
        <v>4327789.94</v>
      </c>
      <c r="H5" s="6" t="n">
        <f aca="false">+D5-G5</f>
        <v>15352.9199999999</v>
      </c>
      <c r="J5" s="6" t="n">
        <f aca="false">+ROUND(((D5)*((1/(1+($K$2))^(($E5-K$1)/365)))),2)</f>
        <v>4342433.23</v>
      </c>
      <c r="K5" s="6" t="n">
        <f aca="false">+D5-J5</f>
        <v>709.629999999888</v>
      </c>
    </row>
    <row r="6" customFormat="false" ht="15" hidden="false" customHeight="false" outlineLevel="0" collapsed="false">
      <c r="A6" s="2" t="n">
        <v>46323</v>
      </c>
      <c r="B6" s="6" t="n">
        <v>11419467.75</v>
      </c>
      <c r="D6" s="6" t="n">
        <f aca="false">+B6</f>
        <v>11419467.75</v>
      </c>
      <c r="E6" s="2" t="n">
        <f aca="false">+A6</f>
        <v>46323</v>
      </c>
      <c r="G6" s="6" t="n">
        <f aca="false">+ROUND(((D6)*((1/(1+($H$2))^(($E6-H$1)/365)))),2)</f>
        <v>11371043.79</v>
      </c>
      <c r="H6" s="6" t="n">
        <f aca="false">+D6-G6</f>
        <v>48423.9600000009</v>
      </c>
      <c r="J6" s="6" t="n">
        <f aca="false">+ROUND(((D6)*((1/(1+($K$2))^(($E6-K$1)/365)))),2)</f>
        <v>11417228.77</v>
      </c>
      <c r="K6" s="6" t="n">
        <f aca="false">+D6-J6</f>
        <v>2238.98000000045</v>
      </c>
    </row>
    <row r="7" customFormat="false" ht="15" hidden="false" customHeight="false" outlineLevel="0" collapsed="false">
      <c r="A7" s="2" t="n">
        <v>46324</v>
      </c>
      <c r="B7" s="6" t="n">
        <v>5819725.66</v>
      </c>
      <c r="D7" s="6" t="n">
        <f aca="false">+B7</f>
        <v>5819725.66</v>
      </c>
      <c r="E7" s="2" t="n">
        <f aca="false">+A7</f>
        <v>46324</v>
      </c>
      <c r="G7" s="6" t="n">
        <f aca="false">+ROUND(((D7)*((1/(1+($H$2))^(($E7-H$1)/365)))),2)</f>
        <v>5790944.38</v>
      </c>
      <c r="H7" s="6" t="n">
        <f aca="false">+D7-G7</f>
        <v>28781.2800000003</v>
      </c>
      <c r="J7" s="6" t="n">
        <f aca="false">+ROUND(((D7)*((1/(1+($K$2))^(($E7-K$1)/365)))),2)</f>
        <v>5818394.45</v>
      </c>
      <c r="K7" s="6" t="n">
        <f aca="false">+D7-J7</f>
        <v>1331.20999999996</v>
      </c>
    </row>
    <row r="8" customFormat="false" ht="15" hidden="false" customHeight="false" outlineLevel="0" collapsed="false">
      <c r="A8" s="2" t="n">
        <v>46325</v>
      </c>
      <c r="B8" s="6" t="n">
        <v>18222496.2</v>
      </c>
      <c r="D8" s="6" t="n">
        <f aca="false">+B8</f>
        <v>18222496.2</v>
      </c>
      <c r="E8" s="2" t="n">
        <f aca="false">+A8</f>
        <v>46325</v>
      </c>
      <c r="G8" s="6" t="n">
        <f aca="false">+ROUND(((D8)*((1/(1+($H$2))^(($E8-H$1)/365)))),2)</f>
        <v>18119539.71</v>
      </c>
      <c r="H8" s="6" t="n">
        <f aca="false">+D8-G8</f>
        <v>102956.489999998</v>
      </c>
      <c r="J8" s="6" t="n">
        <f aca="false">+ROUND(((D8)*((1/(1+($K$2))^(($E8-K$1)/365)))),2)</f>
        <v>18217732.59</v>
      </c>
      <c r="K8" s="6" t="n">
        <f aca="false">+D8-J8</f>
        <v>4763.6099999994</v>
      </c>
    </row>
    <row r="9" customFormat="false" ht="15" hidden="false" customHeight="false" outlineLevel="0" collapsed="false">
      <c r="A9" s="2" t="n">
        <v>46328</v>
      </c>
      <c r="B9" s="6" t="n">
        <v>5623202.62</v>
      </c>
      <c r="D9" s="6" t="n">
        <f aca="false">+B9</f>
        <v>5623202.62</v>
      </c>
      <c r="E9" s="2" t="n">
        <f aca="false">+A9</f>
        <v>46328</v>
      </c>
      <c r="G9" s="6" t="n">
        <f aca="false">+ROUND(((D9)*((1/(1+($H$2))^(($E9-H$1)/365)))),2)</f>
        <v>5579563.96</v>
      </c>
      <c r="H9" s="6" t="n">
        <f aca="false">+D9-G9</f>
        <v>43638.6600000002</v>
      </c>
      <c r="J9" s="6" t="n">
        <f aca="false">+ROUND(((D9)*((1/(1+($K$2))^(($E9-K$1)/365)))),2)</f>
        <v>5621181.49</v>
      </c>
      <c r="K9" s="6" t="n">
        <f aca="false">+D9-J9</f>
        <v>2021.12999999989</v>
      </c>
    </row>
    <row r="10" customFormat="false" ht="15" hidden="false" customHeight="false" outlineLevel="0" collapsed="false">
      <c r="A10" s="2" t="n">
        <v>46329</v>
      </c>
      <c r="B10" s="6" t="n">
        <v>3936163.65</v>
      </c>
      <c r="D10" s="6" t="n">
        <f aca="false">+B10</f>
        <v>3936163.65</v>
      </c>
      <c r="E10" s="2" t="n">
        <f aca="false">+A10</f>
        <v>46329</v>
      </c>
      <c r="G10" s="6" t="n">
        <f aca="false">+ROUND(((D10)*((1/(1+($H$2))^(($E10-H$1)/365)))),2)</f>
        <v>3902852.02</v>
      </c>
      <c r="H10" s="6" t="n">
        <f aca="false">+D10-G10</f>
        <v>33311.6299999999</v>
      </c>
      <c r="J10" s="6" t="n">
        <f aca="false">+ROUND(((D10)*((1/(1+($K$2))^(($E10-K$1)/365)))),2)</f>
        <v>3934620.3</v>
      </c>
      <c r="K10" s="6" t="n">
        <f aca="false">+D10-J10</f>
        <v>1543.35000000009</v>
      </c>
    </row>
    <row r="11" customFormat="false" ht="15" hidden="false" customHeight="false" outlineLevel="0" collapsed="false">
      <c r="A11" s="2" t="n">
        <v>46330</v>
      </c>
      <c r="B11" s="6" t="n">
        <v>11472111.15</v>
      </c>
      <c r="D11" s="6" t="n">
        <f aca="false">+B11</f>
        <v>11472111.15</v>
      </c>
      <c r="E11" s="2" t="n">
        <f aca="false">+A11</f>
        <v>46330</v>
      </c>
      <c r="G11" s="6" t="n">
        <f aca="false">+ROUND(((D11)*((1/(1+($H$2))^(($E11-H$1)/365)))),2)</f>
        <v>11366969.56</v>
      </c>
      <c r="H11" s="6" t="n">
        <f aca="false">+D11-G11</f>
        <v>105141.59</v>
      </c>
      <c r="J11" s="6" t="n">
        <f aca="false">+ROUND(((D11)*((1/(1+($K$2))^(($E11-K$1)/365)))),2)</f>
        <v>11467238.22</v>
      </c>
      <c r="K11" s="6" t="n">
        <f aca="false">+D11-J11</f>
        <v>4872.9299999997</v>
      </c>
    </row>
    <row r="12" customFormat="false" ht="15" hidden="false" customHeight="false" outlineLevel="0" collapsed="false">
      <c r="A12" s="2" t="n">
        <v>46331</v>
      </c>
      <c r="B12" s="6" t="n">
        <v>5675462.95</v>
      </c>
      <c r="D12" s="6" t="n">
        <f aca="false">+B12</f>
        <v>5675462.95</v>
      </c>
      <c r="E12" s="2" t="n">
        <f aca="false">+A12</f>
        <v>46331</v>
      </c>
      <c r="G12" s="6" t="n">
        <f aca="false">+ROUND(((D12)*((1/(1+($H$2))^(($E12-H$1)/365)))),2)</f>
        <v>5619466.09</v>
      </c>
      <c r="H12" s="6" t="n">
        <f aca="false">+D12-G12</f>
        <v>55996.8600000003</v>
      </c>
      <c r="J12" s="6" t="n">
        <f aca="false">+ROUND(((D12)*((1/(1+($K$2))^(($E12-K$1)/365)))),2)</f>
        <v>5672866.83</v>
      </c>
      <c r="K12" s="6" t="n">
        <f aca="false">+D12-J12</f>
        <v>2596.12000000011</v>
      </c>
    </row>
    <row r="13" customFormat="false" ht="15" hidden="false" customHeight="false" outlineLevel="0" collapsed="false">
      <c r="A13" s="2" t="n">
        <v>46337</v>
      </c>
      <c r="B13" s="6" t="n">
        <v>36697660.72</v>
      </c>
      <c r="D13" s="6" t="n">
        <f aca="false">+B13</f>
        <v>36697660.72</v>
      </c>
      <c r="E13" s="2" t="n">
        <f aca="false">+A13</f>
        <v>46337</v>
      </c>
      <c r="G13" s="6" t="n">
        <f aca="false">+ROUND(((D13)*((1/(1+($H$2))^(($E13-H$1)/365)))),2)</f>
        <v>36181503.78</v>
      </c>
      <c r="H13" s="6" t="n">
        <f aca="false">+D13-G13</f>
        <v>516156.939999998</v>
      </c>
      <c r="J13" s="6" t="n">
        <f aca="false">+ROUND(((D13)*((1/(1+($K$2))^(($E13-K$1)/365)))),2)</f>
        <v>36673682.22</v>
      </c>
      <c r="K13" s="6" t="n">
        <f aca="false">+D13-J13</f>
        <v>23978.5</v>
      </c>
    </row>
    <row r="14" customFormat="false" ht="15" hidden="false" customHeight="false" outlineLevel="0" collapsed="false">
      <c r="A14" s="2" t="n">
        <v>46338</v>
      </c>
      <c r="B14" s="6" t="n">
        <v>4412091.21</v>
      </c>
      <c r="D14" s="6" t="n">
        <f aca="false">+B14</f>
        <v>4412091.21</v>
      </c>
      <c r="E14" s="2" t="n">
        <f aca="false">+A14</f>
        <v>46338</v>
      </c>
      <c r="G14" s="6" t="n">
        <f aca="false">+ROUND(((D14)*((1/(1+($H$2))^(($E14-H$1)/365)))),2)</f>
        <v>4346954.81</v>
      </c>
      <c r="H14" s="6" t="n">
        <f aca="false">+D14-G14</f>
        <v>65136.4000000004</v>
      </c>
      <c r="J14" s="6" t="n">
        <f aca="false">+ROUND(((D14)*((1/(1+($K$2))^(($E14-K$1)/365)))),2)</f>
        <v>4409064.22</v>
      </c>
      <c r="K14" s="6" t="n">
        <f aca="false">+D14-J14</f>
        <v>3026.99000000022</v>
      </c>
    </row>
    <row r="15" customFormat="false" ht="15" hidden="false" customHeight="false" outlineLevel="0" collapsed="false">
      <c r="A15" s="2" t="n">
        <v>46339</v>
      </c>
      <c r="B15" s="6" t="n">
        <v>18243475.97</v>
      </c>
      <c r="D15" s="6" t="n">
        <f aca="false">+B15</f>
        <v>18243475.97</v>
      </c>
      <c r="E15" s="2" t="n">
        <f aca="false">+A15</f>
        <v>46339</v>
      </c>
      <c r="G15" s="6" t="n">
        <f aca="false">+ROUND(((D15)*((1/(1+($H$2))^(($E15-H$1)/365)))),2)</f>
        <v>17961419</v>
      </c>
      <c r="H15" s="6" t="n">
        <f aca="false">+D15-G15</f>
        <v>282056.969999999</v>
      </c>
      <c r="J15" s="6" t="n">
        <f aca="false">+ROUND(((D15)*((1/(1+($K$2))^(($E15-K$1)/365)))),2)</f>
        <v>18230363.95</v>
      </c>
      <c r="K15" s="6" t="n">
        <f aca="false">+D15-J15</f>
        <v>13112.0199999996</v>
      </c>
    </row>
    <row r="16" customFormat="false" ht="15" hidden="false" customHeight="false" outlineLevel="0" collapsed="false">
      <c r="A16" s="2" t="n">
        <v>46342</v>
      </c>
      <c r="B16" s="6" t="n">
        <v>5466585.84</v>
      </c>
      <c r="D16" s="6" t="n">
        <f aca="false">+B16</f>
        <v>5466585.84</v>
      </c>
      <c r="E16" s="2" t="n">
        <f aca="false">+A16</f>
        <v>46342</v>
      </c>
      <c r="G16" s="6" t="n">
        <f aca="false">+ROUND(((D16)*((1/(1+($H$2))^(($E16-H$1)/365)))),2)</f>
        <v>5370645.19</v>
      </c>
      <c r="H16" s="6" t="n">
        <f aca="false">+D16-G16</f>
        <v>95940.6499999994</v>
      </c>
      <c r="J16" s="6" t="n">
        <f aca="false">+ROUND(((D16)*((1/(1+($K$2))^(($E16-K$1)/365)))),2)</f>
        <v>5462121.32</v>
      </c>
      <c r="K16" s="6" t="n">
        <f aca="false">+D16-J16</f>
        <v>4464.51999999955</v>
      </c>
    </row>
    <row r="17" customFormat="false" ht="15" hidden="false" customHeight="false" outlineLevel="0" collapsed="false">
      <c r="A17" s="2" t="n">
        <v>46343</v>
      </c>
      <c r="B17" s="6" t="n">
        <v>6927776.9</v>
      </c>
      <c r="D17" s="6" t="n">
        <f aca="false">+B17</f>
        <v>6927776.9</v>
      </c>
      <c r="E17" s="2" t="n">
        <f aca="false">+A17</f>
        <v>46343</v>
      </c>
      <c r="G17" s="6" t="n">
        <f aca="false">+ROUND(((D17)*((1/(1+($H$2))^(($E17-H$1)/365)))),2)</f>
        <v>6801373.03</v>
      </c>
      <c r="H17" s="6" t="n">
        <f aca="false">+D17-G17</f>
        <v>126403.87</v>
      </c>
      <c r="J17" s="6" t="n">
        <f aca="false">+ROUND(((D17)*((1/(1+($K$2))^(($E17-K$1)/365)))),2)</f>
        <v>6921892.82</v>
      </c>
      <c r="K17" s="6" t="n">
        <f aca="false">+D17-J17</f>
        <v>5884.08000000007</v>
      </c>
    </row>
    <row r="18" customFormat="false" ht="15" hidden="false" customHeight="false" outlineLevel="0" collapsed="false">
      <c r="A18" s="2" t="n">
        <v>46344</v>
      </c>
      <c r="B18" s="6" t="n">
        <v>9469866.91</v>
      </c>
      <c r="D18" s="6" t="n">
        <f aca="false">+B18</f>
        <v>9469866.91</v>
      </c>
      <c r="E18" s="2" t="n">
        <f aca="false">+A18</f>
        <v>46344</v>
      </c>
      <c r="G18" s="6" t="n">
        <f aca="false">+ROUND(((D18)*((1/(1+($H$2))^(($E18-H$1)/365)))),2)</f>
        <v>9290497.88</v>
      </c>
      <c r="H18" s="6" t="n">
        <f aca="false">+D18-G18</f>
        <v>179369.029999999</v>
      </c>
      <c r="J18" s="6" t="n">
        <f aca="false">+ROUND(((D18)*((1/(1+($K$2))^(($E18-K$1)/365)))),2)</f>
        <v>9461514.5</v>
      </c>
      <c r="K18" s="6" t="n">
        <f aca="false">+D18-J18</f>
        <v>8352.41000000015</v>
      </c>
    </row>
    <row r="19" customFormat="false" ht="15" hidden="false" customHeight="false" outlineLevel="0" collapsed="false">
      <c r="A19" s="2" t="n">
        <v>46345</v>
      </c>
      <c r="B19" s="6" t="n">
        <v>5228918.89</v>
      </c>
      <c r="D19" s="6" t="n">
        <f aca="false">+B19</f>
        <v>5228918.89</v>
      </c>
      <c r="E19" s="2" t="n">
        <f aca="false">+A19</f>
        <v>46345</v>
      </c>
      <c r="G19" s="6" t="n">
        <f aca="false">+ROUND(((D19)*((1/(1+($H$2))^(($E19-H$1)/365)))),2)</f>
        <v>5126245.84</v>
      </c>
      <c r="H19" s="6" t="n">
        <f aca="false">+D19-G19</f>
        <v>102673.05</v>
      </c>
      <c r="J19" s="6" t="n">
        <f aca="false">+ROUND(((D19)*((1/(1+($K$2))^(($E19-K$1)/365)))),2)</f>
        <v>5224136.26</v>
      </c>
      <c r="K19" s="6" t="n">
        <f aca="false">+D19-J19</f>
        <v>4782.62999999989</v>
      </c>
    </row>
    <row r="20" customFormat="false" ht="15" hidden="false" customHeight="false" outlineLevel="0" collapsed="false">
      <c r="A20" s="2" t="n">
        <v>46350</v>
      </c>
      <c r="B20" s="6" t="n">
        <v>15224523.81</v>
      </c>
      <c r="D20" s="6" t="n">
        <f aca="false">+B20</f>
        <v>15224523.81</v>
      </c>
      <c r="E20" s="2" t="n">
        <f aca="false">+A20</f>
        <v>46350</v>
      </c>
      <c r="G20" s="6" t="n">
        <f aca="false">+ROUND(((D20)*((1/(1+($H$2))^(($E20-H$1)/365)))),2)</f>
        <v>14872819.26</v>
      </c>
      <c r="H20" s="6" t="n">
        <f aca="false">+D20-G20</f>
        <v>351704.550000001</v>
      </c>
      <c r="J20" s="6" t="n">
        <f aca="false">+ROUND(((D20)*((1/(1+($K$2))^(($E20-K$1)/365)))),2)</f>
        <v>15208113.41</v>
      </c>
      <c r="K20" s="6" t="n">
        <f aca="false">+D20-J20</f>
        <v>16410.4000000004</v>
      </c>
    </row>
    <row r="21" customFormat="false" ht="15" hidden="false" customHeight="false" outlineLevel="0" collapsed="false">
      <c r="A21" s="2" t="n">
        <v>46351</v>
      </c>
      <c r="B21" s="6" t="n">
        <v>4755136.74</v>
      </c>
      <c r="D21" s="6" t="n">
        <f aca="false">+B21</f>
        <v>4755136.74</v>
      </c>
      <c r="E21" s="2" t="n">
        <f aca="false">+A21</f>
        <v>46351</v>
      </c>
      <c r="G21" s="6" t="n">
        <f aca="false">+ROUND(((D21)*((1/(1+($H$2))^(($E21-H$1)/365)))),2)</f>
        <v>4641998.59</v>
      </c>
      <c r="H21" s="6" t="n">
        <f aca="false">+D21-G21</f>
        <v>113138.15</v>
      </c>
      <c r="J21" s="6" t="n">
        <f aca="false">+ROUND(((D21)*((1/(1+($K$2))^(($E21-K$1)/365)))),2)</f>
        <v>4749855.98</v>
      </c>
      <c r="K21" s="6" t="n">
        <f aca="false">+D21-J21</f>
        <v>5280.75999999978</v>
      </c>
    </row>
    <row r="22" customFormat="false" ht="15" hidden="false" customHeight="false" outlineLevel="0" collapsed="false">
      <c r="A22" s="2" t="n">
        <v>46352</v>
      </c>
      <c r="B22" s="6" t="n">
        <v>6298341.83</v>
      </c>
      <c r="D22" s="6" t="n">
        <f aca="false">+B22</f>
        <v>6298341.83</v>
      </c>
      <c r="E22" s="2" t="n">
        <f aca="false">+A22</f>
        <v>46352</v>
      </c>
      <c r="G22" s="6" t="n">
        <f aca="false">+ROUND(((D22)*((1/(1+($H$2))^(($E22-H$1)/365)))),2)</f>
        <v>6144133.35</v>
      </c>
      <c r="H22" s="6" t="n">
        <f aca="false">+D22-G22</f>
        <v>154208.48</v>
      </c>
      <c r="J22" s="6" t="n">
        <f aca="false">+ROUND(((D22)*((1/(1+($K$2))^(($E22-K$1)/365)))),2)</f>
        <v>6291141.68</v>
      </c>
      <c r="K22" s="6" t="n">
        <f aca="false">+D22-J22</f>
        <v>7200.15000000037</v>
      </c>
    </row>
    <row r="23" customFormat="false" ht="15" hidden="false" customHeight="false" outlineLevel="0" collapsed="false">
      <c r="A23" s="2" t="n">
        <v>46353</v>
      </c>
      <c r="B23" s="6" t="n">
        <v>6469856.77</v>
      </c>
      <c r="D23" s="6" t="n">
        <f aca="false">+B23</f>
        <v>6469856.77</v>
      </c>
      <c r="E23" s="2" t="n">
        <f aca="false">+A23</f>
        <v>46353</v>
      </c>
      <c r="G23" s="6" t="n">
        <f aca="false">+ROUND(((D23)*((1/(1+($H$2))^(($E23-H$1)/365)))),2)</f>
        <v>6306980.43</v>
      </c>
      <c r="H23" s="6" t="n">
        <f aca="false">+D23-G23</f>
        <v>162876.34</v>
      </c>
      <c r="J23" s="6" t="n">
        <f aca="false">+ROUND(((D23)*((1/(1+($K$2))^(($E23-K$1)/365)))),2)</f>
        <v>6462249.35</v>
      </c>
      <c r="K23" s="6" t="n">
        <f aca="false">+D23-J23</f>
        <v>7607.41999999993</v>
      </c>
    </row>
    <row r="24" customFormat="false" ht="15" hidden="false" customHeight="false" outlineLevel="0" collapsed="false">
      <c r="A24" s="2" t="n">
        <v>46356</v>
      </c>
      <c r="B24" s="6" t="n">
        <v>7557422.65</v>
      </c>
      <c r="D24" s="6" t="n">
        <f aca="false">+B24</f>
        <v>7557422.65</v>
      </c>
      <c r="E24" s="2" t="n">
        <f aca="false">+A24</f>
        <v>46356</v>
      </c>
      <c r="G24" s="6" t="n">
        <f aca="false">+ROUND(((D24)*((1/(1+($H$2))^(($E24-H$1)/365)))),2)</f>
        <v>7351530.49</v>
      </c>
      <c r="H24" s="6" t="n">
        <f aca="false">+D24-G24</f>
        <v>205892.16</v>
      </c>
      <c r="J24" s="6" t="n">
        <f aca="false">+ROUND(((D24)*((1/(1+($K$2))^(($E24-K$1)/365)))),2)</f>
        <v>7547796.4</v>
      </c>
      <c r="K24" s="6" t="n">
        <f aca="false">+D24-J24</f>
        <v>9626.25</v>
      </c>
    </row>
    <row r="25" customFormat="false" ht="15" hidden="false" customHeight="false" outlineLevel="0" collapsed="false">
      <c r="A25" s="2" t="n">
        <v>46357</v>
      </c>
      <c r="B25" s="6" t="n">
        <v>11788212.2</v>
      </c>
      <c r="D25" s="6" t="n">
        <f aca="false">+B25</f>
        <v>11788212.2</v>
      </c>
      <c r="E25" s="2" t="n">
        <f aca="false">+A25</f>
        <v>46357</v>
      </c>
      <c r="G25" s="6" t="n">
        <f aca="false">+ROUND(((D25)*((1/(1+($H$2))^(($E25-H$1)/365)))),2)</f>
        <v>11458939.03</v>
      </c>
      <c r="H25" s="6" t="n">
        <f aca="false">+D25-G25</f>
        <v>329273.17</v>
      </c>
      <c r="J25" s="6" t="n">
        <f aca="false">+ROUND(((D25)*((1/(1+($K$2))^(($E25-K$1)/365)))),2)</f>
        <v>11772812.24</v>
      </c>
      <c r="K25" s="6" t="n">
        <f aca="false">+D25-J25</f>
        <v>15399.959999999</v>
      </c>
    </row>
    <row r="26" customFormat="false" ht="15" hidden="false" customHeight="false" outlineLevel="0" collapsed="false">
      <c r="A26" s="2" t="n">
        <v>46358</v>
      </c>
      <c r="B26" s="6" t="n">
        <v>8273566.96</v>
      </c>
      <c r="D26" s="6" t="n">
        <f aca="false">+B26</f>
        <v>8273566.96</v>
      </c>
      <c r="E26" s="2" t="n">
        <f aca="false">+A26</f>
        <v>46358</v>
      </c>
      <c r="G26" s="6" t="n">
        <f aca="false">+ROUND(((D26)*((1/(1+($H$2))^(($E26-H$1)/365)))),2)</f>
        <v>8036772.25</v>
      </c>
      <c r="H26" s="6" t="n">
        <f aca="false">+D26-G26</f>
        <v>236794.71</v>
      </c>
      <c r="J26" s="6" t="n">
        <f aca="false">+ROUND(((D26)*((1/(1+($K$2))^(($E26-K$1)/365)))),2)</f>
        <v>8262488.45</v>
      </c>
      <c r="K26" s="6" t="n">
        <f aca="false">+D26-J26</f>
        <v>11078.5099999998</v>
      </c>
    </row>
    <row r="27" customFormat="false" ht="15" hidden="false" customHeight="false" outlineLevel="0" collapsed="false">
      <c r="A27" s="2" t="n">
        <v>46359</v>
      </c>
      <c r="B27" s="6" t="n">
        <v>8359925.82</v>
      </c>
      <c r="D27" s="6" t="n">
        <f aca="false">+B27</f>
        <v>8359925.82</v>
      </c>
      <c r="E27" s="2" t="n">
        <f aca="false">+A27</f>
        <v>46359</v>
      </c>
      <c r="G27" s="6" t="n">
        <f aca="false">+ROUND(((D27)*((1/(1+($H$2))^(($E27-H$1)/365)))),2)</f>
        <v>8114910.06</v>
      </c>
      <c r="H27" s="6" t="n">
        <f aca="false">+D27-G27</f>
        <v>245015.760000001</v>
      </c>
      <c r="J27" s="6" t="n">
        <f aca="false">+ROUND(((D27)*((1/(1+($K$2))^(($E27-K$1)/365)))),2)</f>
        <v>8348458.84</v>
      </c>
      <c r="K27" s="6" t="n">
        <f aca="false">+D27-J27</f>
        <v>11466.9800000004</v>
      </c>
    </row>
    <row r="28" customFormat="false" ht="15" hidden="false" customHeight="false" outlineLevel="0" collapsed="false">
      <c r="A28" s="2" t="n">
        <v>46360</v>
      </c>
      <c r="B28" s="6" t="n">
        <v>10695173.46</v>
      </c>
      <c r="D28" s="6" t="n">
        <f aca="false">+B28</f>
        <v>10695173.46</v>
      </c>
      <c r="E28" s="2" t="n">
        <f aca="false">+A28</f>
        <v>46360</v>
      </c>
      <c r="G28" s="6" t="n">
        <f aca="false">+ROUND(((D28)*((1/(1+($H$2))^(($E28-H$1)/365)))),2)</f>
        <v>10374365.18</v>
      </c>
      <c r="H28" s="6" t="n">
        <f aca="false">+D28-G28</f>
        <v>320808.280000001</v>
      </c>
      <c r="J28" s="6" t="n">
        <f aca="false">+ROUND(((D28)*((1/(1+($K$2))^(($E28-K$1)/365)))),2)</f>
        <v>10680154.26</v>
      </c>
      <c r="K28" s="6" t="n">
        <f aca="false">+D28-J28</f>
        <v>15019.2000000011</v>
      </c>
    </row>
    <row r="29" customFormat="false" ht="15" hidden="false" customHeight="false" outlineLevel="0" collapsed="false">
      <c r="A29" s="2" t="n">
        <v>46365</v>
      </c>
      <c r="B29" s="6" t="n">
        <v>19123167.81</v>
      </c>
      <c r="D29" s="6" t="n">
        <f aca="false">+B29</f>
        <v>19123167.81</v>
      </c>
      <c r="E29" s="2" t="n">
        <f aca="false">+A29</f>
        <v>46365</v>
      </c>
      <c r="G29" s="6" t="n">
        <f aca="false">+ROUND(((D29)*((1/(1+($H$2))^(($E29-H$1)/365)))),2)</f>
        <v>18483984.37</v>
      </c>
      <c r="H29" s="6" t="n">
        <f aca="false">+D29-G29</f>
        <v>639183.439999998</v>
      </c>
      <c r="J29" s="6" t="n">
        <f aca="false">+ROUND(((D29)*((1/(1+($K$2))^(($E29-K$1)/365)))),2)</f>
        <v>19093193.03</v>
      </c>
      <c r="K29" s="6" t="n">
        <f aca="false">+D29-J29</f>
        <v>29974.7799999975</v>
      </c>
    </row>
    <row r="30" customFormat="false" ht="15" hidden="false" customHeight="false" outlineLevel="0" collapsed="false">
      <c r="A30" s="2" t="n">
        <v>46366</v>
      </c>
      <c r="B30" s="6" t="n">
        <v>6052994.53</v>
      </c>
      <c r="D30" s="6" t="n">
        <f aca="false">+B30</f>
        <v>6052994.53</v>
      </c>
      <c r="E30" s="2" t="n">
        <f aca="false">+A30</f>
        <v>46366</v>
      </c>
      <c r="G30" s="6" t="n">
        <f aca="false">+ROUND(((D30)*((1/(1+($H$2))^(($E30-H$1)/365)))),2)</f>
        <v>5846533.59</v>
      </c>
      <c r="H30" s="6" t="n">
        <f aca="false">+D30-G30</f>
        <v>206460.94</v>
      </c>
      <c r="J30" s="6" t="n">
        <f aca="false">+ROUND(((D30)*((1/(1+($K$2))^(($E30-K$1)/365)))),2)</f>
        <v>6043309.2</v>
      </c>
      <c r="K30" s="6" t="n">
        <f aca="false">+D30-J30</f>
        <v>9685.33000000008</v>
      </c>
    </row>
    <row r="31" customFormat="false" ht="15" hidden="false" customHeight="false" outlineLevel="0" collapsed="false">
      <c r="A31" s="2" t="n">
        <v>46367</v>
      </c>
      <c r="B31" s="6" t="n">
        <v>7662654.32</v>
      </c>
      <c r="D31" s="6" t="n">
        <f aca="false">+B31</f>
        <v>7662654.32</v>
      </c>
      <c r="E31" s="2" t="n">
        <f aca="false">+A31</f>
        <v>46367</v>
      </c>
      <c r="G31" s="6" t="n">
        <f aca="false">+ROUND(((D31)*((1/(1+($H$2))^(($E31-H$1)/365)))),2)</f>
        <v>7396049.58</v>
      </c>
      <c r="H31" s="6" t="n">
        <f aca="false">+D31-G31</f>
        <v>266604.74</v>
      </c>
      <c r="J31" s="6" t="n">
        <f aca="false">+ROUND(((D31)*((1/(1+($K$2))^(($E31-K$1)/365)))),2)</f>
        <v>7650143.38</v>
      </c>
      <c r="K31" s="6" t="n">
        <f aca="false">+D31-J31</f>
        <v>12510.9400000004</v>
      </c>
    </row>
    <row r="32" customFormat="false" ht="15" hidden="false" customHeight="false" outlineLevel="0" collapsed="false">
      <c r="A32" s="2" t="n">
        <v>46370</v>
      </c>
      <c r="B32" s="6" t="n">
        <v>7845603.35</v>
      </c>
      <c r="D32" s="6" t="n">
        <f aca="false">+B32</f>
        <v>7845603.35</v>
      </c>
      <c r="E32" s="2" t="n">
        <f aca="false">+A32</f>
        <v>46370</v>
      </c>
      <c r="G32" s="6" t="n">
        <f aca="false">+ROUND(((D32)*((1/(1+($H$2))^(($E32-H$1)/365)))),2)</f>
        <v>7556560.47</v>
      </c>
      <c r="H32" s="6" t="n">
        <f aca="false">+D32-G32</f>
        <v>289042.88</v>
      </c>
      <c r="J32" s="6" t="n">
        <f aca="false">+ROUND(((D32)*((1/(1+($K$2))^(($E32-K$1)/365)))),2)</f>
        <v>7832025.79</v>
      </c>
      <c r="K32" s="6" t="n">
        <f aca="false">+D32-J32</f>
        <v>13577.5599999996</v>
      </c>
    </row>
    <row r="33" customFormat="false" ht="15" hidden="false" customHeight="false" outlineLevel="0" collapsed="false">
      <c r="A33" s="2" t="n">
        <v>46371</v>
      </c>
      <c r="B33" s="6" t="n">
        <v>10798147.62</v>
      </c>
      <c r="D33" s="6" t="n">
        <f aca="false">+B33</f>
        <v>10798147.62</v>
      </c>
      <c r="E33" s="2" t="n">
        <f aca="false">+A33</f>
        <v>46371</v>
      </c>
      <c r="G33" s="6" t="n">
        <f aca="false">+ROUND(((D33)*((1/(1+($H$2))^(($E33-H$1)/365)))),2)</f>
        <v>10392965.52</v>
      </c>
      <c r="H33" s="6" t="n">
        <f aca="false">+D33-G33</f>
        <v>405182.1</v>
      </c>
      <c r="J33" s="6" t="n">
        <f aca="false">+ROUND(((D33)*((1/(1+($K$2))^(($E33-K$1)/365)))),2)</f>
        <v>10779108.13</v>
      </c>
      <c r="K33" s="6" t="n">
        <f aca="false">+D33-J33</f>
        <v>19039.4899999984</v>
      </c>
    </row>
    <row r="34" customFormat="false" ht="15" hidden="false" customHeight="false" outlineLevel="0" collapsed="false">
      <c r="A34" s="2" t="n">
        <v>46372</v>
      </c>
      <c r="B34" s="6" t="n">
        <v>3939760.56</v>
      </c>
      <c r="D34" s="6" t="n">
        <f aca="false">+B34</f>
        <v>3939760.56</v>
      </c>
      <c r="E34" s="2" t="n">
        <f aca="false">+A34</f>
        <v>46372</v>
      </c>
      <c r="G34" s="6" t="n">
        <f aca="false">+ROUND(((D34)*((1/(1+($H$2))^(($E34-H$1)/365)))),2)</f>
        <v>3789243.08</v>
      </c>
      <c r="H34" s="6" t="n">
        <f aca="false">+D34-G34</f>
        <v>150517.48</v>
      </c>
      <c r="J34" s="6" t="n">
        <f aca="false">+ROUND(((D34)*((1/(1+($K$2))^(($E34-K$1)/365)))),2)</f>
        <v>3932685.37</v>
      </c>
      <c r="K34" s="6" t="n">
        <f aca="false">+D34-J34</f>
        <v>7075.18999999994</v>
      </c>
    </row>
    <row r="35" customFormat="false" ht="15" hidden="false" customHeight="false" outlineLevel="0" collapsed="false">
      <c r="A35" s="2" t="n">
        <v>46373</v>
      </c>
      <c r="B35" s="6" t="n">
        <v>5896064.49</v>
      </c>
      <c r="D35" s="6" t="n">
        <f aca="false">+B35</f>
        <v>5896064.49</v>
      </c>
      <c r="E35" s="2" t="n">
        <f aca="false">+A35</f>
        <v>46373</v>
      </c>
      <c r="G35" s="6" t="n">
        <f aca="false">+ROUND(((D35)*((1/(1+($H$2))^(($E35-H$1)/365)))),2)</f>
        <v>5666792.03</v>
      </c>
      <c r="H35" s="6" t="n">
        <f aca="false">+D35-G35</f>
        <v>229272.46</v>
      </c>
      <c r="J35" s="6" t="n">
        <f aca="false">+ROUND(((D35)*((1/(1+($K$2))^(($E35-K$1)/365)))),2)</f>
        <v>5885283.75</v>
      </c>
      <c r="K35" s="6" t="n">
        <f aca="false">+D35-J35</f>
        <v>10780.7400000002</v>
      </c>
    </row>
    <row r="36" customFormat="false" ht="15" hidden="false" customHeight="false" outlineLevel="0" collapsed="false">
      <c r="A36" s="2" t="n">
        <v>46374</v>
      </c>
      <c r="B36" s="6" t="n">
        <v>5173365.65</v>
      </c>
      <c r="D36" s="6" t="n">
        <f aca="false">+B36</f>
        <v>5173365.65</v>
      </c>
      <c r="E36" s="2" t="n">
        <f aca="false">+A36</f>
        <v>46374</v>
      </c>
      <c r="G36" s="6" t="n">
        <f aca="false">+ROUND(((D36)*((1/(1+($H$2))^(($E36-H$1)/365)))),2)</f>
        <v>4968675.52</v>
      </c>
      <c r="H36" s="6" t="n">
        <f aca="false">+D36-G36</f>
        <v>204690.130000001</v>
      </c>
      <c r="J36" s="6" t="n">
        <f aca="false">+ROUND(((D36)*((1/(1+($K$2))^(($E36-K$1)/365)))),2)</f>
        <v>5163737.58</v>
      </c>
      <c r="K36" s="6" t="n">
        <f aca="false">+D36-J36</f>
        <v>9628.0700000003</v>
      </c>
    </row>
    <row r="37" customFormat="false" ht="15" hidden="false" customHeight="false" outlineLevel="0" collapsed="false">
      <c r="A37" s="2" t="n">
        <v>46377</v>
      </c>
      <c r="B37" s="6" t="n">
        <v>9339733.52</v>
      </c>
      <c r="D37" s="6" t="n">
        <f aca="false">+B37</f>
        <v>9339733.52</v>
      </c>
      <c r="E37" s="2" t="n">
        <f aca="false">+A37</f>
        <v>46377</v>
      </c>
      <c r="G37" s="6" t="n">
        <f aca="false">+ROUND(((D37)*((1/(1+($H$2))^(($E37-H$1)/365)))),2)</f>
        <v>8951157.13</v>
      </c>
      <c r="H37" s="6" t="n">
        <f aca="false">+D37-G37</f>
        <v>388576.389999999</v>
      </c>
      <c r="J37" s="6" t="n">
        <f aca="false">+ROUND(((D37)*((1/(1+($K$2))^(($E37-K$1)/365)))),2)</f>
        <v>9321437.54</v>
      </c>
      <c r="K37" s="6" t="n">
        <f aca="false">+D37-J37</f>
        <v>18295.9800000004</v>
      </c>
    </row>
    <row r="38" customFormat="false" ht="15" hidden="false" customHeight="false" outlineLevel="0" collapsed="false">
      <c r="A38" s="2" t="n">
        <v>46378</v>
      </c>
      <c r="B38" s="6" t="n">
        <v>10795556.7</v>
      </c>
      <c r="D38" s="6" t="n">
        <f aca="false">+B38</f>
        <v>10795556.7</v>
      </c>
      <c r="E38" s="2" t="n">
        <f aca="false">+A38</f>
        <v>46378</v>
      </c>
      <c r="G38" s="6" t="n">
        <f aca="false">+ROUND(((D38)*((1/(1+($H$2))^(($E38-H$1)/365)))),2)</f>
        <v>10339086.05</v>
      </c>
      <c r="H38" s="6" t="n">
        <f aca="false">+D38-G38</f>
        <v>456470.649999999</v>
      </c>
      <c r="J38" s="6" t="n">
        <f aca="false">+ROUND(((D38)*((1/(1+($K$2))^(($E38-K$1)/365)))),2)</f>
        <v>10774056.74</v>
      </c>
      <c r="K38" s="6" t="n">
        <f aca="false">+D38-J38</f>
        <v>21499.959999999</v>
      </c>
    </row>
    <row r="39" customFormat="false" ht="15" hidden="false" customHeight="false" outlineLevel="0" collapsed="false">
      <c r="A39" s="2" t="n">
        <v>46379</v>
      </c>
      <c r="B39" s="6" t="n">
        <v>6143594.53</v>
      </c>
      <c r="D39" s="6" t="n">
        <f aca="false">+B39</f>
        <v>6143594.53</v>
      </c>
      <c r="E39" s="2" t="n">
        <f aca="false">+A39</f>
        <v>46379</v>
      </c>
      <c r="G39" s="6" t="n">
        <f aca="false">+ROUND(((D39)*((1/(1+($H$2))^(($E39-H$1)/365)))),2)</f>
        <v>5879657.98</v>
      </c>
      <c r="H39" s="6" t="n">
        <f aca="false">+D39-G39</f>
        <v>263936.55</v>
      </c>
      <c r="J39" s="6" t="n">
        <f aca="false">+ROUND(((D39)*((1/(1+($K$2))^(($E39-K$1)/365)))),2)</f>
        <v>6131158.84</v>
      </c>
      <c r="K39" s="6" t="n">
        <f aca="false">+D39-J39</f>
        <v>12435.6900000004</v>
      </c>
    </row>
    <row r="40" customFormat="false" ht="15" hidden="false" customHeight="false" outlineLevel="0" collapsed="false">
      <c r="A40" s="2" t="n">
        <v>46380</v>
      </c>
      <c r="B40" s="6" t="n">
        <v>6622280.56</v>
      </c>
      <c r="D40" s="6" t="n">
        <f aca="false">+B40</f>
        <v>6622280.56</v>
      </c>
      <c r="E40" s="2" t="n">
        <f aca="false">+A40</f>
        <v>46380</v>
      </c>
      <c r="G40" s="6" t="n">
        <f aca="false">+ROUND(((D40)*((1/(1+($H$2))^(($E40-H$1)/365)))),2)</f>
        <v>6333291.92</v>
      </c>
      <c r="H40" s="6" t="n">
        <f aca="false">+D40-G40</f>
        <v>288988.64</v>
      </c>
      <c r="J40" s="6" t="n">
        <f aca="false">+ROUND(((D40)*((1/(1+($K$2))^(($E40-K$1)/365)))),2)</f>
        <v>6608659.95</v>
      </c>
      <c r="K40" s="6" t="n">
        <f aca="false">+D40-J40</f>
        <v>13620.6099999994</v>
      </c>
    </row>
    <row r="41" customFormat="false" ht="15" hidden="false" customHeight="false" outlineLevel="0" collapsed="false">
      <c r="A41" s="2" t="n">
        <v>46384</v>
      </c>
      <c r="B41" s="6" t="n">
        <v>9515791.97</v>
      </c>
      <c r="D41" s="6" t="n">
        <f aca="false">+B41</f>
        <v>9515791.97</v>
      </c>
      <c r="E41" s="2" t="n">
        <f aca="false">+A41</f>
        <v>46384</v>
      </c>
      <c r="G41" s="6" t="n">
        <f aca="false">+ROUND(((D41)*((1/(1+($H$2))^(($E41-H$1)/365)))),2)</f>
        <v>9074788.58</v>
      </c>
      <c r="H41" s="6" t="n">
        <f aca="false">+D41-G41</f>
        <v>441003.390000001</v>
      </c>
      <c r="J41" s="6" t="n">
        <f aca="false">+ROUND(((D41)*((1/(1+($K$2))^(($E41-K$1)/365)))),2)</f>
        <v>9494978.72</v>
      </c>
      <c r="K41" s="6" t="n">
        <f aca="false">+D41-J41</f>
        <v>20813.25</v>
      </c>
    </row>
    <row r="42" customFormat="false" ht="15" hidden="false" customHeight="false" outlineLevel="0" collapsed="false">
      <c r="A42" s="2" t="n">
        <v>46385</v>
      </c>
      <c r="B42" s="6" t="n">
        <v>3814452.28</v>
      </c>
      <c r="D42" s="6" t="n">
        <f aca="false">+B42</f>
        <v>3814452.28</v>
      </c>
      <c r="E42" s="2" t="n">
        <f aca="false">+A42</f>
        <v>46385</v>
      </c>
      <c r="G42" s="6" t="n">
        <f aca="false">+ROUND(((D42)*((1/(1+($H$2))^(($E42-H$1)/365)))),2)</f>
        <v>3635098.43</v>
      </c>
      <c r="H42" s="6" t="n">
        <f aca="false">+D42-G42</f>
        <v>179353.85</v>
      </c>
      <c r="J42" s="6" t="n">
        <f aca="false">+ROUND(((D42)*((1/(1+($K$2))^(($E42-K$1)/365)))),2)</f>
        <v>3805984.8</v>
      </c>
      <c r="K42" s="6" t="n">
        <f aca="false">+D42-J42</f>
        <v>8467.47999999998</v>
      </c>
    </row>
    <row r="43" customFormat="false" ht="15" hidden="false" customHeight="false" outlineLevel="0" collapsed="false">
      <c r="A43" s="2" t="n">
        <v>46386</v>
      </c>
      <c r="B43" s="6" t="n">
        <v>3504999.27</v>
      </c>
      <c r="D43" s="6" t="n">
        <f aca="false">+B43</f>
        <v>3504999.27</v>
      </c>
      <c r="E43" s="2" t="n">
        <f aca="false">+A43</f>
        <v>46386</v>
      </c>
      <c r="G43" s="6" t="n">
        <f aca="false">+ROUND(((D43)*((1/(1+($H$2))^(($E43-H$1)/365)))),2)</f>
        <v>3337830.91</v>
      </c>
      <c r="H43" s="6" t="n">
        <f aca="false">+D43-G43</f>
        <v>167168.36</v>
      </c>
      <c r="J43" s="6" t="n">
        <f aca="false">+ROUND(((D43)*((1/(1+($K$2))^(($E43-K$1)/365)))),2)</f>
        <v>3497104.44</v>
      </c>
      <c r="K43" s="6" t="n">
        <f aca="false">+D43-J43</f>
        <v>7894.83000000007</v>
      </c>
    </row>
    <row r="44" customFormat="false" ht="15" hidden="false" customHeight="false" outlineLevel="0" collapsed="false">
      <c r="A44" s="2" t="n">
        <v>46387</v>
      </c>
      <c r="B44" s="6" t="n">
        <v>6098956.36</v>
      </c>
      <c r="D44" s="6" t="n">
        <f aca="false">+B44</f>
        <v>6098956.36</v>
      </c>
      <c r="E44" s="2" t="n">
        <f aca="false">+A44</f>
        <v>46387</v>
      </c>
      <c r="G44" s="6" t="n">
        <f aca="false">+ROUND(((D44)*((1/(1+($H$2))^(($E44-H$1)/365)))),2)</f>
        <v>5803959.02</v>
      </c>
      <c r="H44" s="6" t="n">
        <f aca="false">+D44-G44</f>
        <v>294997.340000001</v>
      </c>
      <c r="J44" s="6" t="n">
        <f aca="false">+ROUND(((D44)*((1/(1+($K$2))^(($E44-K$1)/365)))),2)</f>
        <v>6085019.9</v>
      </c>
      <c r="K44" s="6" t="n">
        <f aca="false">+D44-J44</f>
        <v>13936.46</v>
      </c>
    </row>
    <row r="45" customFormat="false" ht="15" hidden="false" customHeight="false" outlineLevel="0" collapsed="false">
      <c r="A45" s="7" t="s">
        <v>11</v>
      </c>
      <c r="B45" s="8" t="n">
        <f aca="false">SUM(B4:B44)</f>
        <v>379627812.28</v>
      </c>
      <c r="D45" s="8" t="n">
        <f aca="false">SUM(D4:D44)</f>
        <v>379627812.28</v>
      </c>
      <c r="E45" s="2"/>
      <c r="G45" s="8" t="n">
        <f aca="false">SUM(G4:G44)</f>
        <v>370764811.67</v>
      </c>
      <c r="H45" s="8" t="n">
        <f aca="false">SUM(H4:H44)</f>
        <v>8863000.60999999</v>
      </c>
      <c r="J45" s="8" t="n">
        <f aca="false">SUM(J4:J44)</f>
        <v>379212550.7</v>
      </c>
      <c r="K45" s="8" t="n">
        <f aca="false">SUM(K4:K44)</f>
        <v>415261.579999992</v>
      </c>
    </row>
    <row r="48" customFormat="false" ht="15" hidden="false" customHeight="false" outlineLevel="0" collapsed="false">
      <c r="A48" s="0" t="s">
        <v>12</v>
      </c>
      <c r="C48" s="6" t="n">
        <f aca="false">+D45</f>
        <v>379627812.28</v>
      </c>
    </row>
    <row r="50" customFormat="false" ht="15" hidden="false" customHeight="false" outlineLevel="0" collapsed="false">
      <c r="A50" s="0" t="s">
        <v>13</v>
      </c>
      <c r="C50" s="6" t="n">
        <f aca="false">+G45</f>
        <v>370764811.67</v>
      </c>
    </row>
    <row r="52" customFormat="false" ht="15" hidden="false" customHeight="false" outlineLevel="0" collapsed="false">
      <c r="A52" s="0" t="s">
        <v>14</v>
      </c>
      <c r="C52" s="6" t="n">
        <f aca="false">+C48-C50</f>
        <v>8863000.61000007</v>
      </c>
    </row>
    <row r="54" customFormat="false" ht="15" hidden="false" customHeight="false" outlineLevel="0" collapsed="false">
      <c r="A54" s="0" t="s">
        <v>15</v>
      </c>
      <c r="B54" s="3" t="n">
        <v>0.105</v>
      </c>
      <c r="C54" s="6" t="n">
        <f aca="false">+C52*B54</f>
        <v>930615.064050008</v>
      </c>
    </row>
    <row r="56" customFormat="false" ht="15" hidden="false" customHeight="false" outlineLevel="0" collapsed="false">
      <c r="A56" s="0" t="s">
        <v>16</v>
      </c>
      <c r="B56" s="3" t="n">
        <v>0.015</v>
      </c>
      <c r="C56" s="6" t="n">
        <f aca="false">+C52*B56</f>
        <v>132945.009150001</v>
      </c>
    </row>
    <row r="58" customFormat="false" ht="15" hidden="false" customHeight="false" outlineLevel="0" collapsed="false">
      <c r="A58" s="0" t="s">
        <v>17</v>
      </c>
      <c r="B58" s="3" t="n">
        <v>0.012</v>
      </c>
      <c r="C58" s="6" t="n">
        <f aca="false">+K45</f>
        <v>415261.579999992</v>
      </c>
    </row>
    <row r="60" customFormat="false" ht="15" hidden="false" customHeight="false" outlineLevel="0" collapsed="false">
      <c r="A60" s="0" t="s">
        <v>18</v>
      </c>
      <c r="B60" s="3" t="n">
        <v>0.01</v>
      </c>
      <c r="C60" s="6" t="n">
        <f aca="false">+C52*B60</f>
        <v>88630.0061000007</v>
      </c>
    </row>
    <row r="62" customFormat="false" ht="15" hidden="false" customHeight="false" outlineLevel="0" collapsed="false">
      <c r="A62" s="9" t="s">
        <v>19</v>
      </c>
      <c r="C62" s="8" t="n">
        <f aca="false">+C48-C52-C54-C56-C58-C60</f>
        <v>369197360.0107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2026-10-22T14:38:14Z</dcterms:created>
  <dc:creator>openpyxl</dc:creator>
  <dc:description/>
  <dc:language>en-US</dc:language>
  <cp:lastModifiedBy/>
  <dcterms:modified xsi:type="dcterms:W3CDTF">2026-10-22T14:38:14Z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